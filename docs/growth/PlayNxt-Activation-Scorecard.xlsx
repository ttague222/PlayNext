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Link inventory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How to 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F6E6E"/>
      <sz val="14"/>
    </font>
    <font>
      <name val="Arial"/>
      <i val="1"/>
      <color rgb="00000000"/>
      <sz val="10"/>
    </font>
    <font>
      <name val="Arial"/>
      <i val="1"/>
      <color rgb="007F4F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D5ECEA"/>
      </patternFill>
    </fill>
    <fill>
      <patternFill patternType="solid">
        <fgColor rgb="000F6E6E"/>
      </patternFill>
    </fill>
    <fill>
      <patternFill patternType="solid">
        <fgColor rgb="00FFF8CC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7" fillId="4" borderId="1" pivotButton="0" quotePrefix="0" xfId="0"/>
    <xf numFmtId="3" fontId="7" fillId="4" borderId="1" pivotButton="0" quotePrefix="0" xfId="0"/>
    <xf numFmtId="3" fontId="6" fillId="5" borderId="1" pivotButton="0" quotePrefix="0" xfId="0"/>
    <xf numFmtId="165" fontId="6" fillId="5" borderId="1" pivotButton="0" quotePrefix="0" xfId="0"/>
    <xf numFmtId="0" fontId="7" fillId="4" borderId="1" applyAlignment="1" pivotButton="0" quotePrefix="0" xfId="0">
      <alignment vertical="top" wrapText="1"/>
    </xf>
    <xf numFmtId="164" fontId="6" fillId="5" borderId="1" pivotButton="0" quotePrefix="0" xfId="0"/>
    <xf numFmtId="164" fontId="7" fillId="4" borderId="1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Scorecard</author>
  </authors>
  <commentList>
    <comment ref="R5" authorId="0" shapeId="0">
      <text>
        <t>North star: activated users per week. Sum of the per-source cells to the left.</t>
      </text>
    </comment>
    <comment ref="Y5" authorId="0" shapeId="0">
      <text>
        <t>Organic includes every iOS install, campaign or not.</t>
      </text>
    </comment>
    <comment ref="AA5" authorId="0" shapeId="0">
      <text>
        <t>Activated users from this week who fired recommendation_viewed again on day 1 to 7 after first activation. Fill this row one week after the week ends. Rate uses this week's total activated users as the denominator.</t>
      </text>
    </comment>
    <comment ref="BA5" authorId="0" shapeId="0">
      <text>
        <t>Vercel Analytics, playnxt-web project, page /play/30-minutes-low-energy, this week.</t>
      </text>
    </comment>
    <comment ref="BB5" authorId="0" shapeId="0">
      <text>
        <t>Vercel Analytics, playnxt-web project, page /play/15-minutes-casual, this week.</t>
      </text>
    </comment>
    <comment ref="BC5" authorId="0" shapeId="0">
      <text>
        <t>Vercel Analytics, playnxt-web project, page /play/1-hour-focused, this week.</t>
      </text>
    </comment>
    <comment ref="BD5" authorId="0" shapeId="0">
      <text>
        <t>Vercel Analytics, playnxt-web project, page /play/2-hours-intense, this week.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40" customWidth="1" min="74" max="74"/>
  </cols>
  <sheetData>
    <row r="1">
      <c r="A1" s="1" t="inlineStr">
        <is>
          <t>PlayNxt activation scorecard (weekly)</t>
        </is>
      </c>
    </row>
    <row r="2">
      <c r="A2" s="2" t="inlineStr">
        <is>
          <t>Legend: yellow cells with blue text are inputs you type in. Gray cells are formulas, do not type over them. Weeks run Monday to Sunday. See the How to fill tab.</t>
        </is>
      </c>
    </row>
    <row r="3">
      <c r="A3" s="3" t="inlineStr">
        <is>
          <t>iOS installs always report install_source = organic, so per-source rates below are Android only and organic includes iOS campaign installs. Use the App Store Connect columns for iOS campaigns.</t>
        </is>
      </c>
    </row>
    <row r="4" ht="30" customHeight="1">
      <c r="A4" s="4" t="inlineStr">
        <is>
          <t>Week</t>
        </is>
      </c>
      <c r="B4" s="5" t="n"/>
      <c r="C4" s="4" t="inlineStr">
        <is>
          <t>First opens (app_first_open users)</t>
        </is>
      </c>
      <c r="D4" s="6" t="n"/>
      <c r="E4" s="6" t="n"/>
      <c r="F4" s="6" t="n"/>
      <c r="G4" s="6" t="n"/>
      <c r="H4" s="6" t="n"/>
      <c r="I4" s="6" t="n"/>
      <c r="J4" s="5" t="n"/>
      <c r="K4" s="4" t="inlineStr">
        <is>
          <t>Activated users (game_selected unique users)</t>
        </is>
      </c>
      <c r="L4" s="6" t="n"/>
      <c r="M4" s="6" t="n"/>
      <c r="N4" s="6" t="n"/>
      <c r="O4" s="6" t="n"/>
      <c r="P4" s="6" t="n"/>
      <c r="Q4" s="6" t="n"/>
      <c r="R4" s="5" t="n"/>
      <c r="S4" s="4" t="inlineStr">
        <is>
          <t>Activation rate (activated / first opens)</t>
        </is>
      </c>
      <c r="T4" s="6" t="n"/>
      <c r="U4" s="6" t="n"/>
      <c r="V4" s="6" t="n"/>
      <c r="W4" s="6" t="n"/>
      <c r="X4" s="6" t="n"/>
      <c r="Y4" s="6" t="n"/>
      <c r="Z4" s="5" t="n"/>
      <c r="AA4" s="4" t="inlineStr">
        <is>
          <t>D7 return</t>
        </is>
      </c>
      <c r="AB4" s="5" t="n"/>
      <c r="AC4" s="4" t="inlineStr">
        <is>
          <t>App Store Connect: playnxt-30min-lowenergy</t>
        </is>
      </c>
      <c r="AD4" s="6" t="n"/>
      <c r="AE4" s="5" t="n"/>
      <c r="AF4" s="4" t="inlineStr">
        <is>
          <t>App Store Connect: playnxt-community</t>
        </is>
      </c>
      <c r="AG4" s="6" t="n"/>
      <c r="AH4" s="5" t="n"/>
      <c r="AI4" s="4" t="inlineStr">
        <is>
          <t>App Store Connect: playnxt-challenge</t>
        </is>
      </c>
      <c r="AJ4" s="6" t="n"/>
      <c r="AK4" s="5" t="n"/>
      <c r="AL4" s="4" t="inlineStr">
        <is>
          <t>App Store Connect: playnxt-web-pick</t>
        </is>
      </c>
      <c r="AM4" s="6" t="n"/>
      <c r="AN4" s="5" t="n"/>
      <c r="AO4" s="4" t="inlineStr">
        <is>
          <t>App Store Connect: playnxt-15min-casual</t>
        </is>
      </c>
      <c r="AP4" s="6" t="n"/>
      <c r="AQ4" s="5" t="n"/>
      <c r="AR4" s="4" t="inlineStr">
        <is>
          <t>App Store Connect: playnxt-1hr-focused</t>
        </is>
      </c>
      <c r="AS4" s="6" t="n"/>
      <c r="AT4" s="5" t="n"/>
      <c r="AU4" s="4" t="inlineStr">
        <is>
          <t>App Store Connect: playnxt-2hr-intense</t>
        </is>
      </c>
      <c r="AV4" s="6" t="n"/>
      <c r="AW4" s="5" t="n"/>
      <c r="AX4" s="4" t="inlineStr">
        <is>
          <t>App Store Connect: playnxt-cozy-october</t>
        </is>
      </c>
      <c r="AY4" s="6" t="n"/>
      <c r="AZ4" s="5" t="n"/>
      <c r="BA4" s="4" t="inlineStr">
        <is>
          <t>App Store Connect: playnxt-spooky-october</t>
        </is>
      </c>
      <c r="BB4" s="6" t="n"/>
      <c r="BC4" s="5" t="n"/>
      <c r="BD4" s="4" t="inlineStr">
        <is>
          <t>App Store Connect: playnxt-post-travel-winddown</t>
        </is>
      </c>
      <c r="BE4" s="6" t="n"/>
      <c r="BF4" s="5" t="n"/>
      <c r="BG4" s="4" t="inlineStr">
        <is>
          <t>App Store Connect: playnxt-long-flight</t>
        </is>
      </c>
      <c r="BH4" s="6" t="n"/>
      <c r="BI4" s="5" t="n"/>
      <c r="BJ4" s="4" t="inlineStr">
        <is>
          <t>App Store Connect: playnxt-holiday-multiplayer</t>
        </is>
      </c>
      <c r="BK4" s="6" t="n"/>
      <c r="BL4" s="5" t="n"/>
      <c r="BM4" s="4" t="inlineStr">
        <is>
          <t>Vercel Analytics</t>
        </is>
      </c>
      <c r="BN4" s="6" t="n"/>
      <c r="BO4" s="6" t="n"/>
      <c r="BP4" s="6" t="n"/>
      <c r="BQ4" s="6" t="n"/>
      <c r="BR4" s="6" t="n"/>
      <c r="BS4" s="6" t="n"/>
      <c r="BT4" s="6" t="n"/>
      <c r="BU4" s="5" t="n"/>
      <c r="BV4" s="4" t="n"/>
    </row>
    <row r="5" ht="42" customHeight="1">
      <c r="A5" s="7" t="inlineStr">
        <is>
          <t>Week #</t>
        </is>
      </c>
      <c r="B5" s="7" t="inlineStr">
        <is>
          <t>Week starting (Mon)</t>
        </is>
      </c>
      <c r="C5" s="7" t="inlineStr">
        <is>
          <t>scenario-pages</t>
        </is>
      </c>
      <c r="D5" s="7" t="inlineStr">
        <is>
          <t>reddit</t>
        </is>
      </c>
      <c r="E5" s="7" t="inlineStr">
        <is>
          <t>creator</t>
        </is>
      </c>
      <c r="F5" s="7" t="inlineStr">
        <is>
          <t>newsletter</t>
        </is>
      </c>
      <c r="G5" s="7" t="inlineStr">
        <is>
          <t>web_quiz</t>
        </is>
      </c>
      <c r="H5" s="7" t="inlineStr">
        <is>
          <t>pick_page</t>
        </is>
      </c>
      <c r="I5" s="7" t="inlineStr">
        <is>
          <t>organic</t>
        </is>
      </c>
      <c r="J5" s="7" t="inlineStr">
        <is>
          <t>Total</t>
        </is>
      </c>
      <c r="K5" s="7" t="inlineStr">
        <is>
          <t>scenario-pages</t>
        </is>
      </c>
      <c r="L5" s="7" t="inlineStr">
        <is>
          <t>reddit</t>
        </is>
      </c>
      <c r="M5" s="7" t="inlineStr">
        <is>
          <t>creator</t>
        </is>
      </c>
      <c r="N5" s="7" t="inlineStr">
        <is>
          <t>newsletter</t>
        </is>
      </c>
      <c r="O5" s="7" t="inlineStr">
        <is>
          <t>web_quiz</t>
        </is>
      </c>
      <c r="P5" s="7" t="inlineStr">
        <is>
          <t>pick_page</t>
        </is>
      </c>
      <c r="Q5" s="7" t="inlineStr">
        <is>
          <t>organic</t>
        </is>
      </c>
      <c r="R5" s="7" t="inlineStr">
        <is>
          <t>Total (north star)</t>
        </is>
      </c>
      <c r="S5" s="7" t="inlineStr">
        <is>
          <t>scenario-pages</t>
        </is>
      </c>
      <c r="T5" s="7" t="inlineStr">
        <is>
          <t>reddit</t>
        </is>
      </c>
      <c r="U5" s="7" t="inlineStr">
        <is>
          <t>creator</t>
        </is>
      </c>
      <c r="V5" s="7" t="inlineStr">
        <is>
          <t>newsletter</t>
        </is>
      </c>
      <c r="W5" s="7" t="inlineStr">
        <is>
          <t>web_quiz</t>
        </is>
      </c>
      <c r="X5" s="7" t="inlineStr">
        <is>
          <t>pick_page</t>
        </is>
      </c>
      <c r="Y5" s="7" t="inlineStr">
        <is>
          <t>organic</t>
        </is>
      </c>
      <c r="Z5" s="7" t="inlineStr">
        <is>
          <t>All sources</t>
        </is>
      </c>
      <c r="AA5" s="7" t="inlineStr">
        <is>
          <t>D7 returned users</t>
        </is>
      </c>
      <c r="AB5" s="7" t="inlineStr">
        <is>
          <t>D7 return rate</t>
        </is>
      </c>
      <c r="AC5" s="7" t="inlineStr">
        <is>
          <t>Impressions</t>
        </is>
      </c>
      <c r="AD5" s="7" t="inlineStr">
        <is>
          <t>Page views</t>
        </is>
      </c>
      <c r="AE5" s="7" t="inlineStr">
        <is>
          <t>Downloads</t>
        </is>
      </c>
      <c r="AF5" s="7" t="inlineStr">
        <is>
          <t>Impressions</t>
        </is>
      </c>
      <c r="AG5" s="7" t="inlineStr">
        <is>
          <t>Page views</t>
        </is>
      </c>
      <c r="AH5" s="7" t="inlineStr">
        <is>
          <t>Downloads</t>
        </is>
      </c>
      <c r="AI5" s="7" t="inlineStr">
        <is>
          <t>Impressions</t>
        </is>
      </c>
      <c r="AJ5" s="7" t="inlineStr">
        <is>
          <t>Page views</t>
        </is>
      </c>
      <c r="AK5" s="7" t="inlineStr">
        <is>
          <t>Downloads</t>
        </is>
      </c>
      <c r="AL5" s="7" t="inlineStr">
        <is>
          <t>Impressions</t>
        </is>
      </c>
      <c r="AM5" s="7" t="inlineStr">
        <is>
          <t>Page views</t>
        </is>
      </c>
      <c r="AN5" s="7" t="inlineStr">
        <is>
          <t>Downloads</t>
        </is>
      </c>
      <c r="AO5" s="7" t="inlineStr">
        <is>
          <t>Impressions</t>
        </is>
      </c>
      <c r="AP5" s="7" t="inlineStr">
        <is>
          <t>Page views</t>
        </is>
      </c>
      <c r="AQ5" s="7" t="inlineStr">
        <is>
          <t>Downloads</t>
        </is>
      </c>
      <c r="AR5" s="7" t="inlineStr">
        <is>
          <t>Impressions</t>
        </is>
      </c>
      <c r="AS5" s="7" t="inlineStr">
        <is>
          <t>Page views</t>
        </is>
      </c>
      <c r="AT5" s="7" t="inlineStr">
        <is>
          <t>Downloads</t>
        </is>
      </c>
      <c r="AU5" s="7" t="inlineStr">
        <is>
          <t>Impressions</t>
        </is>
      </c>
      <c r="AV5" s="7" t="inlineStr">
        <is>
          <t>Page views</t>
        </is>
      </c>
      <c r="AW5" s="7" t="inlineStr">
        <is>
          <t>Downloads</t>
        </is>
      </c>
      <c r="AX5" s="7" t="inlineStr">
        <is>
          <t>Impressions</t>
        </is>
      </c>
      <c r="AY5" s="7" t="inlineStr">
        <is>
          <t>Page views</t>
        </is>
      </c>
      <c r="AZ5" s="7" t="inlineStr">
        <is>
          <t>Downloads</t>
        </is>
      </c>
      <c r="BA5" s="7" t="inlineStr">
        <is>
          <t>Impressions</t>
        </is>
      </c>
      <c r="BB5" s="7" t="inlineStr">
        <is>
          <t>Page views</t>
        </is>
      </c>
      <c r="BC5" s="7" t="inlineStr">
        <is>
          <t>Downloads</t>
        </is>
      </c>
      <c r="BD5" s="7" t="inlineStr">
        <is>
          <t>Impressions</t>
        </is>
      </c>
      <c r="BE5" s="7" t="inlineStr">
        <is>
          <t>Page views</t>
        </is>
      </c>
      <c r="BF5" s="7" t="inlineStr">
        <is>
          <t>Downloads</t>
        </is>
      </c>
      <c r="BG5" s="7" t="inlineStr">
        <is>
          <t>Impressions</t>
        </is>
      </c>
      <c r="BH5" s="7" t="inlineStr">
        <is>
          <t>Page views</t>
        </is>
      </c>
      <c r="BI5" s="7" t="inlineStr">
        <is>
          <t>Downloads</t>
        </is>
      </c>
      <c r="BJ5" s="7" t="inlineStr">
        <is>
          <t>Impressions</t>
        </is>
      </c>
      <c r="BK5" s="7" t="inlineStr">
        <is>
          <t>Page views</t>
        </is>
      </c>
      <c r="BL5" s="7" t="inlineStr">
        <is>
          <t>Downloads</t>
        </is>
      </c>
      <c r="BM5" s="7" t="inlineStr">
        <is>
          <t>/play/30-minutes-low-energy page views</t>
        </is>
      </c>
      <c r="BN5" s="7" t="inlineStr">
        <is>
          <t>/play/15-minutes-casual page views</t>
        </is>
      </c>
      <c r="BO5" s="7" t="inlineStr">
        <is>
          <t>/play/1-hour-focused page views</t>
        </is>
      </c>
      <c r="BP5" s="7" t="inlineStr">
        <is>
          <t>/play/2-hours-intense page views</t>
        </is>
      </c>
      <c r="BQ5" s="7" t="inlineStr">
        <is>
          <t>/play/cozy-october-games page views</t>
        </is>
      </c>
      <c r="BR5" s="7" t="inlineStr">
        <is>
          <t>/play/spooky-october-games page views</t>
        </is>
      </c>
      <c r="BS5" s="7" t="inlineStr">
        <is>
          <t>/play/post-travel-wind-down page views</t>
        </is>
      </c>
      <c r="BT5" s="7" t="inlineStr">
        <is>
          <t>/play/games-for-long-flight page views</t>
        </is>
      </c>
      <c r="BU5" s="7" t="inlineStr">
        <is>
          <t>/play/holiday-couch-multiplayer page views</t>
        </is>
      </c>
      <c r="BV5" s="7" t="inlineStr">
        <is>
          <t>Notes</t>
        </is>
      </c>
    </row>
    <row r="6">
      <c r="A6" s="8" t="n">
        <v>1</v>
      </c>
      <c r="B6" s="9" t="n">
        <v>46293</v>
      </c>
      <c r="C6" s="10" t="n"/>
      <c r="D6" s="10" t="n"/>
      <c r="E6" s="10" t="n"/>
      <c r="F6" s="10" t="n"/>
      <c r="G6" s="10" t="n"/>
      <c r="H6" s="10" t="n"/>
      <c r="I6" s="10" t="n"/>
      <c r="J6" s="11">
        <f>IF(COUNT(C6:I6)=0,"",SUM(C6:I6))</f>
        <v/>
      </c>
      <c r="K6" s="10" t="n"/>
      <c r="L6" s="10" t="n"/>
      <c r="M6" s="10" t="n"/>
      <c r="N6" s="10" t="n"/>
      <c r="O6" s="10" t="n"/>
      <c r="P6" s="10" t="n"/>
      <c r="Q6" s="10" t="n"/>
      <c r="R6" s="11">
        <f>IF(COUNT(K6:Q6)=0,"",SUM(K6:Q6))</f>
        <v/>
      </c>
      <c r="S6" s="12">
        <f>IF(OR(N(C6)=0,K6=""),"",K6/C6)</f>
        <v/>
      </c>
      <c r="T6" s="12">
        <f>IF(OR(N(D6)=0,L6=""),"",L6/D6)</f>
        <v/>
      </c>
      <c r="U6" s="12">
        <f>IF(OR(N(E6)=0,M6=""),"",M6/E6)</f>
        <v/>
      </c>
      <c r="V6" s="12">
        <f>IF(OR(N(F6)=0,N6=""),"",N6/F6)</f>
        <v/>
      </c>
      <c r="W6" s="12">
        <f>IF(OR(N(G6)=0,O6=""),"",O6/G6)</f>
        <v/>
      </c>
      <c r="X6" s="12">
        <f>IF(OR(N(H6)=0,P6=""),"",P6/H6)</f>
        <v/>
      </c>
      <c r="Y6" s="12">
        <f>IF(OR(N(I6)=0,Q6=""),"",Q6/I6)</f>
        <v/>
      </c>
      <c r="Z6" s="12">
        <f>IF(OR(N(J6)=0,R6=""),"",R6/J6)</f>
        <v/>
      </c>
      <c r="AA6" s="10" t="n"/>
      <c r="AB6" s="12">
        <f>IF(OR(N(R6)=0,AA6=""),"",AA6/R6)</f>
        <v/>
      </c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3" t="n"/>
    </row>
    <row r="7">
      <c r="A7" s="8" t="n">
        <v>2</v>
      </c>
      <c r="B7" s="14">
        <f>B6+7</f>
        <v/>
      </c>
      <c r="C7" s="10" t="n"/>
      <c r="D7" s="10" t="n"/>
      <c r="E7" s="10" t="n"/>
      <c r="F7" s="10" t="n"/>
      <c r="G7" s="10" t="n"/>
      <c r="H7" s="10" t="n"/>
      <c r="I7" s="10" t="n"/>
      <c r="J7" s="11">
        <f>IF(COUNT(C7:I7)=0,"",SUM(C7:I7))</f>
        <v/>
      </c>
      <c r="K7" s="10" t="n"/>
      <c r="L7" s="10" t="n"/>
      <c r="M7" s="10" t="n"/>
      <c r="N7" s="10" t="n"/>
      <c r="O7" s="10" t="n"/>
      <c r="P7" s="10" t="n"/>
      <c r="Q7" s="10" t="n"/>
      <c r="R7" s="11">
        <f>IF(COUNT(K7:Q7)=0,"",SUM(K7:Q7))</f>
        <v/>
      </c>
      <c r="S7" s="12">
        <f>IF(OR(N(C7)=0,K7=""),"",K7/C7)</f>
        <v/>
      </c>
      <c r="T7" s="12">
        <f>IF(OR(N(D7)=0,L7=""),"",L7/D7)</f>
        <v/>
      </c>
      <c r="U7" s="12">
        <f>IF(OR(N(E7)=0,M7=""),"",M7/E7)</f>
        <v/>
      </c>
      <c r="V7" s="12">
        <f>IF(OR(N(F7)=0,N7=""),"",N7/F7)</f>
        <v/>
      </c>
      <c r="W7" s="12">
        <f>IF(OR(N(G7)=0,O7=""),"",O7/G7)</f>
        <v/>
      </c>
      <c r="X7" s="12">
        <f>IF(OR(N(H7)=0,P7=""),"",P7/H7)</f>
        <v/>
      </c>
      <c r="Y7" s="12">
        <f>IF(OR(N(I7)=0,Q7=""),"",Q7/I7)</f>
        <v/>
      </c>
      <c r="Z7" s="12">
        <f>IF(OR(N(J7)=0,R7=""),"",R7/J7)</f>
        <v/>
      </c>
      <c r="AA7" s="10" t="n"/>
      <c r="AB7" s="12">
        <f>IF(OR(N(R7)=0,AA7=""),"",AA7/R7)</f>
        <v/>
      </c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3" t="n"/>
    </row>
    <row r="8">
      <c r="A8" s="8" t="n">
        <v>3</v>
      </c>
      <c r="B8" s="14">
        <f>B7+7</f>
        <v/>
      </c>
      <c r="C8" s="10" t="n"/>
      <c r="D8" s="10" t="n"/>
      <c r="E8" s="10" t="n"/>
      <c r="F8" s="10" t="n"/>
      <c r="G8" s="10" t="n"/>
      <c r="H8" s="10" t="n"/>
      <c r="I8" s="10" t="n"/>
      <c r="J8" s="11">
        <f>IF(COUNT(C8:I8)=0,"",SUM(C8:I8))</f>
        <v/>
      </c>
      <c r="K8" s="10" t="n"/>
      <c r="L8" s="10" t="n"/>
      <c r="M8" s="10" t="n"/>
      <c r="N8" s="10" t="n"/>
      <c r="O8" s="10" t="n"/>
      <c r="P8" s="10" t="n"/>
      <c r="Q8" s="10" t="n"/>
      <c r="R8" s="11">
        <f>IF(COUNT(K8:Q8)=0,"",SUM(K8:Q8))</f>
        <v/>
      </c>
      <c r="S8" s="12">
        <f>IF(OR(N(C8)=0,K8=""),"",K8/C8)</f>
        <v/>
      </c>
      <c r="T8" s="12">
        <f>IF(OR(N(D8)=0,L8=""),"",L8/D8)</f>
        <v/>
      </c>
      <c r="U8" s="12">
        <f>IF(OR(N(E8)=0,M8=""),"",M8/E8)</f>
        <v/>
      </c>
      <c r="V8" s="12">
        <f>IF(OR(N(F8)=0,N8=""),"",N8/F8)</f>
        <v/>
      </c>
      <c r="W8" s="12">
        <f>IF(OR(N(G8)=0,O8=""),"",O8/G8)</f>
        <v/>
      </c>
      <c r="X8" s="12">
        <f>IF(OR(N(H8)=0,P8=""),"",P8/H8)</f>
        <v/>
      </c>
      <c r="Y8" s="12">
        <f>IF(OR(N(I8)=0,Q8=""),"",Q8/I8)</f>
        <v/>
      </c>
      <c r="Z8" s="12">
        <f>IF(OR(N(J8)=0,R8=""),"",R8/J8)</f>
        <v/>
      </c>
      <c r="AA8" s="10" t="n"/>
      <c r="AB8" s="12">
        <f>IF(OR(N(R8)=0,AA8=""),"",AA8/R8)</f>
        <v/>
      </c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3" t="n"/>
    </row>
    <row r="9">
      <c r="A9" s="8" t="n">
        <v>4</v>
      </c>
      <c r="B9" s="14">
        <f>B8+7</f>
        <v/>
      </c>
      <c r="C9" s="10" t="n"/>
      <c r="D9" s="10" t="n"/>
      <c r="E9" s="10" t="n"/>
      <c r="F9" s="10" t="n"/>
      <c r="G9" s="10" t="n"/>
      <c r="H9" s="10" t="n"/>
      <c r="I9" s="10" t="n"/>
      <c r="J9" s="11">
        <f>IF(COUNT(C9:I9)=0,"",SUM(C9:I9))</f>
        <v/>
      </c>
      <c r="K9" s="10" t="n"/>
      <c r="L9" s="10" t="n"/>
      <c r="M9" s="10" t="n"/>
      <c r="N9" s="10" t="n"/>
      <c r="O9" s="10" t="n"/>
      <c r="P9" s="10" t="n"/>
      <c r="Q9" s="10" t="n"/>
      <c r="R9" s="11">
        <f>IF(COUNT(K9:Q9)=0,"",SUM(K9:Q9))</f>
        <v/>
      </c>
      <c r="S9" s="12">
        <f>IF(OR(N(C9)=0,K9=""),"",K9/C9)</f>
        <v/>
      </c>
      <c r="T9" s="12">
        <f>IF(OR(N(D9)=0,L9=""),"",L9/D9)</f>
        <v/>
      </c>
      <c r="U9" s="12">
        <f>IF(OR(N(E9)=0,M9=""),"",M9/E9)</f>
        <v/>
      </c>
      <c r="V9" s="12">
        <f>IF(OR(N(F9)=0,N9=""),"",N9/F9)</f>
        <v/>
      </c>
      <c r="W9" s="12">
        <f>IF(OR(N(G9)=0,O9=""),"",O9/G9)</f>
        <v/>
      </c>
      <c r="X9" s="12">
        <f>IF(OR(N(H9)=0,P9=""),"",P9/H9)</f>
        <v/>
      </c>
      <c r="Y9" s="12">
        <f>IF(OR(N(I9)=0,Q9=""),"",Q9/I9)</f>
        <v/>
      </c>
      <c r="Z9" s="12">
        <f>IF(OR(N(J9)=0,R9=""),"",R9/J9)</f>
        <v/>
      </c>
      <c r="AA9" s="10" t="n"/>
      <c r="AB9" s="12">
        <f>IF(OR(N(R9)=0,AA9=""),"",AA9/R9)</f>
        <v/>
      </c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3" t="n"/>
    </row>
    <row r="10">
      <c r="A10" s="8" t="n">
        <v>5</v>
      </c>
      <c r="B10" s="14">
        <f>B9+7</f>
        <v/>
      </c>
      <c r="C10" s="10" t="n"/>
      <c r="D10" s="10" t="n"/>
      <c r="E10" s="10" t="n"/>
      <c r="F10" s="10" t="n"/>
      <c r="G10" s="10" t="n"/>
      <c r="H10" s="10" t="n"/>
      <c r="I10" s="10" t="n"/>
      <c r="J10" s="11">
        <f>IF(COUNT(C10:I10)=0,"",SUM(C10:I10))</f>
        <v/>
      </c>
      <c r="K10" s="10" t="n"/>
      <c r="L10" s="10" t="n"/>
      <c r="M10" s="10" t="n"/>
      <c r="N10" s="10" t="n"/>
      <c r="O10" s="10" t="n"/>
      <c r="P10" s="10" t="n"/>
      <c r="Q10" s="10" t="n"/>
      <c r="R10" s="11">
        <f>IF(COUNT(K10:Q10)=0,"",SUM(K10:Q10))</f>
        <v/>
      </c>
      <c r="S10" s="12">
        <f>IF(OR(N(C10)=0,K10=""),"",K10/C10)</f>
        <v/>
      </c>
      <c r="T10" s="12">
        <f>IF(OR(N(D10)=0,L10=""),"",L10/D10)</f>
        <v/>
      </c>
      <c r="U10" s="12">
        <f>IF(OR(N(E10)=0,M10=""),"",M10/E10)</f>
        <v/>
      </c>
      <c r="V10" s="12">
        <f>IF(OR(N(F10)=0,N10=""),"",N10/F10)</f>
        <v/>
      </c>
      <c r="W10" s="12">
        <f>IF(OR(N(G10)=0,O10=""),"",O10/G10)</f>
        <v/>
      </c>
      <c r="X10" s="12">
        <f>IF(OR(N(H10)=0,P10=""),"",P10/H10)</f>
        <v/>
      </c>
      <c r="Y10" s="12">
        <f>IF(OR(N(I10)=0,Q10=""),"",Q10/I10)</f>
        <v/>
      </c>
      <c r="Z10" s="12">
        <f>IF(OR(N(J10)=0,R10=""),"",R10/J10)</f>
        <v/>
      </c>
      <c r="AA10" s="10" t="n"/>
      <c r="AB10" s="12">
        <f>IF(OR(N(R10)=0,AA10=""),"",AA10/R10)</f>
        <v/>
      </c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3" t="n"/>
    </row>
    <row r="11">
      <c r="A11" s="8" t="n">
        <v>6</v>
      </c>
      <c r="B11" s="14">
        <f>B10+7</f>
        <v/>
      </c>
      <c r="C11" s="10" t="n"/>
      <c r="D11" s="10" t="n"/>
      <c r="E11" s="10" t="n"/>
      <c r="F11" s="10" t="n"/>
      <c r="G11" s="10" t="n"/>
      <c r="H11" s="10" t="n"/>
      <c r="I11" s="10" t="n"/>
      <c r="J11" s="11">
        <f>IF(COUNT(C11:I11)=0,"",SUM(C11:I11))</f>
        <v/>
      </c>
      <c r="K11" s="10" t="n"/>
      <c r="L11" s="10" t="n"/>
      <c r="M11" s="10" t="n"/>
      <c r="N11" s="10" t="n"/>
      <c r="O11" s="10" t="n"/>
      <c r="P11" s="10" t="n"/>
      <c r="Q11" s="10" t="n"/>
      <c r="R11" s="11">
        <f>IF(COUNT(K11:Q11)=0,"",SUM(K11:Q11))</f>
        <v/>
      </c>
      <c r="S11" s="12">
        <f>IF(OR(N(C11)=0,K11=""),"",K11/C11)</f>
        <v/>
      </c>
      <c r="T11" s="12">
        <f>IF(OR(N(D11)=0,L11=""),"",L11/D11)</f>
        <v/>
      </c>
      <c r="U11" s="12">
        <f>IF(OR(N(E11)=0,M11=""),"",M11/E11)</f>
        <v/>
      </c>
      <c r="V11" s="12">
        <f>IF(OR(N(F11)=0,N11=""),"",N11/F11)</f>
        <v/>
      </c>
      <c r="W11" s="12">
        <f>IF(OR(N(G11)=0,O11=""),"",O11/G11)</f>
        <v/>
      </c>
      <c r="X11" s="12">
        <f>IF(OR(N(H11)=0,P11=""),"",P11/H11)</f>
        <v/>
      </c>
      <c r="Y11" s="12">
        <f>IF(OR(N(I11)=0,Q11=""),"",Q11/I11)</f>
        <v/>
      </c>
      <c r="Z11" s="12">
        <f>IF(OR(N(J11)=0,R11=""),"",R11/J11)</f>
        <v/>
      </c>
      <c r="AA11" s="10" t="n"/>
      <c r="AB11" s="12">
        <f>IF(OR(N(R11)=0,AA11=""),"",AA11/R11)</f>
        <v/>
      </c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3" t="n"/>
    </row>
    <row r="12">
      <c r="A12" s="8" t="n">
        <v>7</v>
      </c>
      <c r="B12" s="14">
        <f>B11+7</f>
        <v/>
      </c>
      <c r="C12" s="10" t="n"/>
      <c r="D12" s="10" t="n"/>
      <c r="E12" s="10" t="n"/>
      <c r="F12" s="10" t="n"/>
      <c r="G12" s="10" t="n"/>
      <c r="H12" s="10" t="n"/>
      <c r="I12" s="10" t="n"/>
      <c r="J12" s="11">
        <f>IF(COUNT(C12:I12)=0,"",SUM(C12:I12))</f>
        <v/>
      </c>
      <c r="K12" s="10" t="n"/>
      <c r="L12" s="10" t="n"/>
      <c r="M12" s="10" t="n"/>
      <c r="N12" s="10" t="n"/>
      <c r="O12" s="10" t="n"/>
      <c r="P12" s="10" t="n"/>
      <c r="Q12" s="10" t="n"/>
      <c r="R12" s="11">
        <f>IF(COUNT(K12:Q12)=0,"",SUM(K12:Q12))</f>
        <v/>
      </c>
      <c r="S12" s="12">
        <f>IF(OR(N(C12)=0,K12=""),"",K12/C12)</f>
        <v/>
      </c>
      <c r="T12" s="12">
        <f>IF(OR(N(D12)=0,L12=""),"",L12/D12)</f>
        <v/>
      </c>
      <c r="U12" s="12">
        <f>IF(OR(N(E12)=0,M12=""),"",M12/E12)</f>
        <v/>
      </c>
      <c r="V12" s="12">
        <f>IF(OR(N(F12)=0,N12=""),"",N12/F12)</f>
        <v/>
      </c>
      <c r="W12" s="12">
        <f>IF(OR(N(G12)=0,O12=""),"",O12/G12)</f>
        <v/>
      </c>
      <c r="X12" s="12">
        <f>IF(OR(N(H12)=0,P12=""),"",P12/H12)</f>
        <v/>
      </c>
      <c r="Y12" s="12">
        <f>IF(OR(N(I12)=0,Q12=""),"",Q12/I12)</f>
        <v/>
      </c>
      <c r="Z12" s="12">
        <f>IF(OR(N(J12)=0,R12=""),"",R12/J12)</f>
        <v/>
      </c>
      <c r="AA12" s="10" t="n"/>
      <c r="AB12" s="12">
        <f>IF(OR(N(R12)=0,AA12=""),"",AA12/R12)</f>
        <v/>
      </c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3" t="n"/>
    </row>
    <row r="13">
      <c r="A13" s="8" t="n">
        <v>8</v>
      </c>
      <c r="B13" s="14">
        <f>B12+7</f>
        <v/>
      </c>
      <c r="C13" s="10" t="n"/>
      <c r="D13" s="10" t="n"/>
      <c r="E13" s="10" t="n"/>
      <c r="F13" s="10" t="n"/>
      <c r="G13" s="10" t="n"/>
      <c r="H13" s="10" t="n"/>
      <c r="I13" s="10" t="n"/>
      <c r="J13" s="11">
        <f>IF(COUNT(C13:I13)=0,"",SUM(C13:I13))</f>
        <v/>
      </c>
      <c r="K13" s="10" t="n"/>
      <c r="L13" s="10" t="n"/>
      <c r="M13" s="10" t="n"/>
      <c r="N13" s="10" t="n"/>
      <c r="O13" s="10" t="n"/>
      <c r="P13" s="10" t="n"/>
      <c r="Q13" s="10" t="n"/>
      <c r="R13" s="11">
        <f>IF(COUNT(K13:Q13)=0,"",SUM(K13:Q13))</f>
        <v/>
      </c>
      <c r="S13" s="12">
        <f>IF(OR(N(C13)=0,K13=""),"",K13/C13)</f>
        <v/>
      </c>
      <c r="T13" s="12">
        <f>IF(OR(N(D13)=0,L13=""),"",L13/D13)</f>
        <v/>
      </c>
      <c r="U13" s="12">
        <f>IF(OR(N(E13)=0,M13=""),"",M13/E13)</f>
        <v/>
      </c>
      <c r="V13" s="12">
        <f>IF(OR(N(F13)=0,N13=""),"",N13/F13)</f>
        <v/>
      </c>
      <c r="W13" s="12">
        <f>IF(OR(N(G13)=0,O13=""),"",O13/G13)</f>
        <v/>
      </c>
      <c r="X13" s="12">
        <f>IF(OR(N(H13)=0,P13=""),"",P13/H13)</f>
        <v/>
      </c>
      <c r="Y13" s="12">
        <f>IF(OR(N(I13)=0,Q13=""),"",Q13/I13)</f>
        <v/>
      </c>
      <c r="Z13" s="12">
        <f>IF(OR(N(J13)=0,R13=""),"",R13/J13)</f>
        <v/>
      </c>
      <c r="AA13" s="10" t="n"/>
      <c r="AB13" s="12">
        <f>IF(OR(N(R13)=0,AA13=""),"",AA13/R13)</f>
        <v/>
      </c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3" t="n"/>
    </row>
    <row r="14">
      <c r="A14" s="8" t="n">
        <v>9</v>
      </c>
      <c r="B14" s="14">
        <f>B13+7</f>
        <v/>
      </c>
      <c r="C14" s="10" t="n"/>
      <c r="D14" s="10" t="n"/>
      <c r="E14" s="10" t="n"/>
      <c r="F14" s="10" t="n"/>
      <c r="G14" s="10" t="n"/>
      <c r="H14" s="10" t="n"/>
      <c r="I14" s="10" t="n"/>
      <c r="J14" s="11">
        <f>IF(COUNT(C14:I14)=0,"",SUM(C14:I14))</f>
        <v/>
      </c>
      <c r="K14" s="10" t="n"/>
      <c r="L14" s="10" t="n"/>
      <c r="M14" s="10" t="n"/>
      <c r="N14" s="10" t="n"/>
      <c r="O14" s="10" t="n"/>
      <c r="P14" s="10" t="n"/>
      <c r="Q14" s="10" t="n"/>
      <c r="R14" s="11">
        <f>IF(COUNT(K14:Q14)=0,"",SUM(K14:Q14))</f>
        <v/>
      </c>
      <c r="S14" s="12">
        <f>IF(OR(N(C14)=0,K14=""),"",K14/C14)</f>
        <v/>
      </c>
      <c r="T14" s="12">
        <f>IF(OR(N(D14)=0,L14=""),"",L14/D14)</f>
        <v/>
      </c>
      <c r="U14" s="12">
        <f>IF(OR(N(E14)=0,M14=""),"",M14/E14)</f>
        <v/>
      </c>
      <c r="V14" s="12">
        <f>IF(OR(N(F14)=0,N14=""),"",N14/F14)</f>
        <v/>
      </c>
      <c r="W14" s="12">
        <f>IF(OR(N(G14)=0,O14=""),"",O14/G14)</f>
        <v/>
      </c>
      <c r="X14" s="12">
        <f>IF(OR(N(H14)=0,P14=""),"",P14/H14)</f>
        <v/>
      </c>
      <c r="Y14" s="12">
        <f>IF(OR(N(I14)=0,Q14=""),"",Q14/I14)</f>
        <v/>
      </c>
      <c r="Z14" s="12">
        <f>IF(OR(N(J14)=0,R14=""),"",R14/J14)</f>
        <v/>
      </c>
      <c r="AA14" s="10" t="n"/>
      <c r="AB14" s="12">
        <f>IF(OR(N(R14)=0,AA14=""),"",AA14/R14)</f>
        <v/>
      </c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3" t="n"/>
    </row>
    <row r="15">
      <c r="A15" s="8" t="n">
        <v>10</v>
      </c>
      <c r="B15" s="14">
        <f>B14+7</f>
        <v/>
      </c>
      <c r="C15" s="10" t="n"/>
      <c r="D15" s="10" t="n"/>
      <c r="E15" s="10" t="n"/>
      <c r="F15" s="10" t="n"/>
      <c r="G15" s="10" t="n"/>
      <c r="H15" s="10" t="n"/>
      <c r="I15" s="10" t="n"/>
      <c r="J15" s="11">
        <f>IF(COUNT(C15:I15)=0,"",SUM(C15:I15))</f>
        <v/>
      </c>
      <c r="K15" s="10" t="n"/>
      <c r="L15" s="10" t="n"/>
      <c r="M15" s="10" t="n"/>
      <c r="N15" s="10" t="n"/>
      <c r="O15" s="10" t="n"/>
      <c r="P15" s="10" t="n"/>
      <c r="Q15" s="10" t="n"/>
      <c r="R15" s="11">
        <f>IF(COUNT(K15:Q15)=0,"",SUM(K15:Q15))</f>
        <v/>
      </c>
      <c r="S15" s="12">
        <f>IF(OR(N(C15)=0,K15=""),"",K15/C15)</f>
        <v/>
      </c>
      <c r="T15" s="12">
        <f>IF(OR(N(D15)=0,L15=""),"",L15/D15)</f>
        <v/>
      </c>
      <c r="U15" s="12">
        <f>IF(OR(N(E15)=0,M15=""),"",M15/E15)</f>
        <v/>
      </c>
      <c r="V15" s="12">
        <f>IF(OR(N(F15)=0,N15=""),"",N15/F15)</f>
        <v/>
      </c>
      <c r="W15" s="12">
        <f>IF(OR(N(G15)=0,O15=""),"",O15/G15)</f>
        <v/>
      </c>
      <c r="X15" s="12">
        <f>IF(OR(N(H15)=0,P15=""),"",P15/H15)</f>
        <v/>
      </c>
      <c r="Y15" s="12">
        <f>IF(OR(N(I15)=0,Q15=""),"",Q15/I15)</f>
        <v/>
      </c>
      <c r="Z15" s="12">
        <f>IF(OR(N(J15)=0,R15=""),"",R15/J15)</f>
        <v/>
      </c>
      <c r="AA15" s="10" t="n"/>
      <c r="AB15" s="12">
        <f>IF(OR(N(R15)=0,AA15=""),"",AA15/R15)</f>
        <v/>
      </c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3" t="n"/>
    </row>
    <row r="16">
      <c r="A16" s="8" t="n">
        <v>11</v>
      </c>
      <c r="B16" s="14">
        <f>B15+7</f>
        <v/>
      </c>
      <c r="C16" s="10" t="n"/>
      <c r="D16" s="10" t="n"/>
      <c r="E16" s="10" t="n"/>
      <c r="F16" s="10" t="n"/>
      <c r="G16" s="10" t="n"/>
      <c r="H16" s="10" t="n"/>
      <c r="I16" s="10" t="n"/>
      <c r="J16" s="11">
        <f>IF(COUNT(C16:I16)=0,"",SUM(C16:I16))</f>
        <v/>
      </c>
      <c r="K16" s="10" t="n"/>
      <c r="L16" s="10" t="n"/>
      <c r="M16" s="10" t="n"/>
      <c r="N16" s="10" t="n"/>
      <c r="O16" s="10" t="n"/>
      <c r="P16" s="10" t="n"/>
      <c r="Q16" s="10" t="n"/>
      <c r="R16" s="11">
        <f>IF(COUNT(K16:Q16)=0,"",SUM(K16:Q16))</f>
        <v/>
      </c>
      <c r="S16" s="12">
        <f>IF(OR(N(C16)=0,K16=""),"",K16/C16)</f>
        <v/>
      </c>
      <c r="T16" s="12">
        <f>IF(OR(N(D16)=0,L16=""),"",L16/D16)</f>
        <v/>
      </c>
      <c r="U16" s="12">
        <f>IF(OR(N(E16)=0,M16=""),"",M16/E16)</f>
        <v/>
      </c>
      <c r="V16" s="12">
        <f>IF(OR(N(F16)=0,N16=""),"",N16/F16)</f>
        <v/>
      </c>
      <c r="W16" s="12">
        <f>IF(OR(N(G16)=0,O16=""),"",O16/G16)</f>
        <v/>
      </c>
      <c r="X16" s="12">
        <f>IF(OR(N(H16)=0,P16=""),"",P16/H16)</f>
        <v/>
      </c>
      <c r="Y16" s="12">
        <f>IF(OR(N(I16)=0,Q16=""),"",Q16/I16)</f>
        <v/>
      </c>
      <c r="Z16" s="12">
        <f>IF(OR(N(J16)=0,R16=""),"",R16/J16)</f>
        <v/>
      </c>
      <c r="AA16" s="10" t="n"/>
      <c r="AB16" s="12">
        <f>IF(OR(N(R16)=0,AA16=""),"",AA16/R16)</f>
        <v/>
      </c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3" t="n"/>
    </row>
    <row r="17">
      <c r="A17" s="8" t="n">
        <v>12</v>
      </c>
      <c r="B17" s="14">
        <f>B16+7</f>
        <v/>
      </c>
      <c r="C17" s="10" t="n"/>
      <c r="D17" s="10" t="n"/>
      <c r="E17" s="10" t="n"/>
      <c r="F17" s="10" t="n"/>
      <c r="G17" s="10" t="n"/>
      <c r="H17" s="10" t="n"/>
      <c r="I17" s="10" t="n"/>
      <c r="J17" s="11">
        <f>IF(COUNT(C17:I17)=0,"",SUM(C17:I17))</f>
        <v/>
      </c>
      <c r="K17" s="10" t="n"/>
      <c r="L17" s="10" t="n"/>
      <c r="M17" s="10" t="n"/>
      <c r="N17" s="10" t="n"/>
      <c r="O17" s="10" t="n"/>
      <c r="P17" s="10" t="n"/>
      <c r="Q17" s="10" t="n"/>
      <c r="R17" s="11">
        <f>IF(COUNT(K17:Q17)=0,"",SUM(K17:Q17))</f>
        <v/>
      </c>
      <c r="S17" s="12">
        <f>IF(OR(N(C17)=0,K17=""),"",K17/C17)</f>
        <v/>
      </c>
      <c r="T17" s="12">
        <f>IF(OR(N(D17)=0,L17=""),"",L17/D17)</f>
        <v/>
      </c>
      <c r="U17" s="12">
        <f>IF(OR(N(E17)=0,M17=""),"",M17/E17)</f>
        <v/>
      </c>
      <c r="V17" s="12">
        <f>IF(OR(N(F17)=0,N17=""),"",N17/F17)</f>
        <v/>
      </c>
      <c r="W17" s="12">
        <f>IF(OR(N(G17)=0,O17=""),"",O17/G17)</f>
        <v/>
      </c>
      <c r="X17" s="12">
        <f>IF(OR(N(H17)=0,P17=""),"",P17/H17)</f>
        <v/>
      </c>
      <c r="Y17" s="12">
        <f>IF(OR(N(I17)=0,Q17=""),"",Q17/I17)</f>
        <v/>
      </c>
      <c r="Z17" s="12">
        <f>IF(OR(N(J17)=0,R17=""),"",R17/J17)</f>
        <v/>
      </c>
      <c r="AA17" s="10" t="n"/>
      <c r="AB17" s="12">
        <f>IF(OR(N(R17)=0,AA17=""),"",AA17/R17)</f>
        <v/>
      </c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3" t="n"/>
    </row>
    <row r="18">
      <c r="A18" s="8" t="n">
        <v>13</v>
      </c>
      <c r="B18" s="14">
        <f>B17+7</f>
        <v/>
      </c>
      <c r="C18" s="10" t="n"/>
      <c r="D18" s="10" t="n"/>
      <c r="E18" s="10" t="n"/>
      <c r="F18" s="10" t="n"/>
      <c r="G18" s="10" t="n"/>
      <c r="H18" s="10" t="n"/>
      <c r="I18" s="10" t="n"/>
      <c r="J18" s="11">
        <f>IF(COUNT(C18:I18)=0,"",SUM(C18:I18))</f>
        <v/>
      </c>
      <c r="K18" s="10" t="n"/>
      <c r="L18" s="10" t="n"/>
      <c r="M18" s="10" t="n"/>
      <c r="N18" s="10" t="n"/>
      <c r="O18" s="10" t="n"/>
      <c r="P18" s="10" t="n"/>
      <c r="Q18" s="10" t="n"/>
      <c r="R18" s="11">
        <f>IF(COUNT(K18:Q18)=0,"",SUM(K18:Q18))</f>
        <v/>
      </c>
      <c r="S18" s="12">
        <f>IF(OR(N(C18)=0,K18=""),"",K18/C18)</f>
        <v/>
      </c>
      <c r="T18" s="12">
        <f>IF(OR(N(D18)=0,L18=""),"",L18/D18)</f>
        <v/>
      </c>
      <c r="U18" s="12">
        <f>IF(OR(N(E18)=0,M18=""),"",M18/E18)</f>
        <v/>
      </c>
      <c r="V18" s="12">
        <f>IF(OR(N(F18)=0,N18=""),"",N18/F18)</f>
        <v/>
      </c>
      <c r="W18" s="12">
        <f>IF(OR(N(G18)=0,O18=""),"",O18/G18)</f>
        <v/>
      </c>
      <c r="X18" s="12">
        <f>IF(OR(N(H18)=0,P18=""),"",P18/H18)</f>
        <v/>
      </c>
      <c r="Y18" s="12">
        <f>IF(OR(N(I18)=0,Q18=""),"",Q18/I18)</f>
        <v/>
      </c>
      <c r="Z18" s="12">
        <f>IF(OR(N(J18)=0,R18=""),"",R18/J18)</f>
        <v/>
      </c>
      <c r="AA18" s="10" t="n"/>
      <c r="AB18" s="12">
        <f>IF(OR(N(R18)=0,AA18=""),"",AA18/R18)</f>
        <v/>
      </c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3" t="n"/>
    </row>
  </sheetData>
  <mergeCells count="18">
    <mergeCell ref="AR4:AT4"/>
    <mergeCell ref="AC4:AE4"/>
    <mergeCell ref="AI4:AK4"/>
    <mergeCell ref="BD4:BF4"/>
    <mergeCell ref="C4:J4"/>
    <mergeCell ref="AO4:AQ4"/>
    <mergeCell ref="BA4:BC4"/>
    <mergeCell ref="AA4:AB4"/>
    <mergeCell ref="AL4:AN4"/>
    <mergeCell ref="BM4:BU4"/>
    <mergeCell ref="AF4:AH4"/>
    <mergeCell ref="AX4:AZ4"/>
    <mergeCell ref="BJ4:BL4"/>
    <mergeCell ref="A4:B4"/>
    <mergeCell ref="AU4:AW4"/>
    <mergeCell ref="K4:R4"/>
    <mergeCell ref="BG4:BI4"/>
    <mergeCell ref="S4:Z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24" customWidth="1" min="5" max="5"/>
    <col width="70" customWidth="1" min="6" max="6"/>
    <col width="30" customWidth="1" min="7" max="7"/>
    <col width="12" customWidth="1" min="8" max="8"/>
    <col width="45" customWidth="1" min="9" max="9"/>
  </cols>
  <sheetData>
    <row r="1">
      <c r="A1" s="1" t="inlineStr">
        <is>
          <t>Tagged store links</t>
        </is>
      </c>
    </row>
    <row r="2">
      <c r="A2" s="2" t="inlineStr">
        <is>
          <t>Source: docs/ACTIVATION-TRACKING.md. Yellow cells are editable. Add new links in the empty rows. App Store links carry only ct (the campaign); utm_source and utm_medium are listed for grouping.</t>
        </is>
      </c>
    </row>
    <row r="4">
      <c r="A4" s="4" t="inlineStr">
        <is>
          <t>Placement</t>
        </is>
      </c>
      <c r="B4" s="4" t="inlineStr">
        <is>
          <t>Platform</t>
        </is>
      </c>
      <c r="C4" s="4" t="inlineStr">
        <is>
          <t>utm_source</t>
        </is>
      </c>
      <c r="D4" s="4" t="inlineStr">
        <is>
          <t>utm_medium</t>
        </is>
      </c>
      <c r="E4" s="4" t="inlineStr">
        <is>
          <t>Campaign</t>
        </is>
      </c>
      <c r="F4" s="4" t="inlineStr">
        <is>
          <t>URL</t>
        </is>
      </c>
      <c r="G4" s="4" t="inlineStr">
        <is>
          <t>Status</t>
        </is>
      </c>
      <c r="H4" s="4" t="inlineStr">
        <is>
          <t>Date placed</t>
        </is>
      </c>
      <c r="I4" s="4" t="inlineStr">
        <is>
          <t>Notes</t>
        </is>
      </c>
    </row>
    <row r="5">
      <c r="A5" s="13" t="inlineStr">
        <is>
          <t>Scenario page, 30 min low energy</t>
        </is>
      </c>
      <c r="B5" s="13" t="inlineStr">
        <is>
          <t>Google Play</t>
        </is>
      </c>
      <c r="C5" s="13" t="inlineStr">
        <is>
          <t>scenario-pages</t>
        </is>
      </c>
      <c r="D5" s="13" t="inlineStr">
        <is>
          <t>web</t>
        </is>
      </c>
      <c r="E5" s="13" t="inlineStr">
        <is>
          <t>playnxt-30min-lowenergy</t>
        </is>
      </c>
      <c r="F5" s="13" t="inlineStr">
        <is>
          <t>https://play.google.com/store/apps/details?id=com.playnxt.app&amp;referrer=utm_source%3Dscenario-pages%26utm_medium%3Dweb%26utm_campaign%3Dplaynxt-30min-lowenergy</t>
        </is>
      </c>
      <c r="G5" s="13" t="inlineStr">
        <is>
          <t>LIVE on https://playnxt.io/play/30-minutes-low-energy</t>
        </is>
      </c>
      <c r="H5" s="15" t="n">
        <v>46295</v>
      </c>
      <c r="I5" s="13" t="inlineStr">
        <is>
          <t>Page builds this link from campaign in playnxt-web/api/_scenarios.js.</t>
        </is>
      </c>
    </row>
    <row r="6">
      <c r="A6" s="13" t="inlineStr">
        <is>
          <t>Reddit</t>
        </is>
      </c>
      <c r="B6" s="13" t="inlineStr">
        <is>
          <t>Google Play</t>
        </is>
      </c>
      <c r="C6" s="13" t="inlineStr">
        <is>
          <t>reddit</t>
        </is>
      </c>
      <c r="D6" s="13" t="inlineStr">
        <is>
          <t>social</t>
        </is>
      </c>
      <c r="E6" s="13" t="inlineStr">
        <is>
          <t>playnxt-community</t>
        </is>
      </c>
      <c r="F6" s="13" t="inlineStr">
        <is>
          <t>https://play.google.com/store/apps/details?id=com.playnxt.app&amp;referrer=utm_source%3Dreddit%26utm_medium%3Dsocial%26utm_campaign%3Dplaynxt-community</t>
        </is>
      </c>
      <c r="G6" s="13" t="inlineStr">
        <is>
          <t>ready, not placed</t>
        </is>
      </c>
      <c r="H6" s="15" t="n"/>
      <c r="I6" s="13" t="inlineStr"/>
    </row>
    <row r="7">
      <c r="A7" s="13" t="inlineStr">
        <is>
          <t>Creator outreach</t>
        </is>
      </c>
      <c r="B7" s="13" t="inlineStr">
        <is>
          <t>Google Play</t>
        </is>
      </c>
      <c r="C7" s="13" t="inlineStr">
        <is>
          <t>creator</t>
        </is>
      </c>
      <c r="D7" s="13" t="inlineStr">
        <is>
          <t>email</t>
        </is>
      </c>
      <c r="E7" s="13" t="inlineStr">
        <is>
          <t>playnxt-challenge</t>
        </is>
      </c>
      <c r="F7" s="13" t="inlineStr">
        <is>
          <t>https://play.google.com/store/apps/details?id=com.playnxt.app&amp;referrer=utm_source%3Dcreator%26utm_medium%3Demail%26utm_campaign%3Dplaynxt-challenge</t>
        </is>
      </c>
      <c r="G7" s="13" t="inlineStr">
        <is>
          <t>ready, not placed</t>
        </is>
      </c>
      <c r="H7" s="15" t="n"/>
      <c r="I7" s="13" t="inlineStr"/>
    </row>
    <row r="8">
      <c r="A8" s="13" t="inlineStr">
        <is>
          <t>Scenario page, 30 min low energy</t>
        </is>
      </c>
      <c r="B8" s="13" t="inlineStr">
        <is>
          <t>App Store</t>
        </is>
      </c>
      <c r="C8" s="13" t="inlineStr">
        <is>
          <t>scenario-pages</t>
        </is>
      </c>
      <c r="D8" s="13" t="inlineStr">
        <is>
          <t>web</t>
        </is>
      </c>
      <c r="E8" s="13" t="inlineStr">
        <is>
          <t>playnxt-30min-lowenergy</t>
        </is>
      </c>
      <c r="F8" s="13" t="inlineStr">
        <is>
          <t>https://apps.apple.com/app/apple-store/id6757089064?pt=128357651&amp;ct=playnxt-30min-lowenergy&amp;mt=8</t>
        </is>
      </c>
      <c r="G8" s="13" t="inlineStr">
        <is>
          <t>LIVE on https://playnxt.io/play/30-minutes-low-energy</t>
        </is>
      </c>
      <c r="H8" s="15" t="n">
        <v>46295</v>
      </c>
      <c r="I8" s="13" t="inlineStr">
        <is>
          <t>Set as iosCampaignUrl in playnxt-web/api/_scenarios.js. Results in ASC Campaigns.</t>
        </is>
      </c>
    </row>
    <row r="9">
      <c r="A9" s="13" t="inlineStr">
        <is>
          <t>Reddit / community</t>
        </is>
      </c>
      <c r="B9" s="13" t="inlineStr">
        <is>
          <t>App Store</t>
        </is>
      </c>
      <c r="C9" s="13" t="inlineStr">
        <is>
          <t>reddit</t>
        </is>
      </c>
      <c r="D9" s="13" t="inlineStr">
        <is>
          <t>social</t>
        </is>
      </c>
      <c r="E9" s="13" t="inlineStr">
        <is>
          <t>playnxt-community</t>
        </is>
      </c>
      <c r="F9" s="13" t="inlineStr">
        <is>
          <t>https://apps.apple.com/app/apple-store/id6757089064?pt=128357651&amp;ct=playnxt-community&amp;mt=8</t>
        </is>
      </c>
      <c r="G9" s="13" t="inlineStr">
        <is>
          <t>ready, not placed</t>
        </is>
      </c>
      <c r="H9" s="15" t="n"/>
      <c r="I9" s="13" t="inlineStr">
        <is>
          <t>Results in ASC Campaigns.</t>
        </is>
      </c>
    </row>
    <row r="10">
      <c r="A10" s="13" t="inlineStr">
        <is>
          <t>Creator outreach</t>
        </is>
      </c>
      <c r="B10" s="13" t="inlineStr">
        <is>
          <t>App Store</t>
        </is>
      </c>
      <c r="C10" s="13" t="inlineStr">
        <is>
          <t>creator</t>
        </is>
      </c>
      <c r="D10" s="13" t="inlineStr">
        <is>
          <t>email</t>
        </is>
      </c>
      <c r="E10" s="13" t="inlineStr">
        <is>
          <t>playnxt-challenge</t>
        </is>
      </c>
      <c r="F10" s="13" t="inlineStr">
        <is>
          <t>https://apps.apple.com/app/apple-store/id6757089064?pt=128357651&amp;ct=playnxt-challenge&amp;mt=8</t>
        </is>
      </c>
      <c r="G10" s="13" t="inlineStr">
        <is>
          <t>ready, not placed</t>
        </is>
      </c>
      <c r="H10" s="15" t="n"/>
      <c r="I10" s="13" t="inlineStr">
        <is>
          <t>Results in ASC Campaigns.</t>
        </is>
      </c>
    </row>
    <row r="11">
      <c r="A11" s="13" t="inlineStr">
        <is>
          <t>Web quiz card, I'll play this! sheet</t>
        </is>
      </c>
      <c r="B11" s="13" t="inlineStr">
        <is>
          <t>Google Play</t>
        </is>
      </c>
      <c r="C11" s="13" t="inlineStr">
        <is>
          <t>web_quiz</t>
        </is>
      </c>
      <c r="D11" s="13" t="inlineStr">
        <is>
          <t>web</t>
        </is>
      </c>
      <c r="E11" s="13" t="inlineStr">
        <is>
          <t>playnxt-web-pick</t>
        </is>
      </c>
      <c r="F11" s="13" t="inlineStr">
        <is>
          <t>https://play.google.com/store/apps/details?id=com.playnxt.app&amp;referrer=utm_source%3Dweb_quiz%26utm_medium%3Dweb%26utm_campaign%3Dplaynxt-web-pick</t>
        </is>
      </c>
      <c r="G11" s="13" t="inlineStr">
        <is>
          <t>ready, ships with the card refresh</t>
        </is>
      </c>
      <c r="H11" s="15" t="n"/>
      <c r="I11" s="13" t="inlineStr">
        <is>
          <t>Opens when a visitor taps I'll play this! on a result card.</t>
        </is>
      </c>
    </row>
    <row r="12">
      <c r="A12" s="13" t="inlineStr">
        <is>
          <t>Web quiz card, I'll play this! sheet</t>
        </is>
      </c>
      <c r="B12" s="13" t="inlineStr">
        <is>
          <t>App Store</t>
        </is>
      </c>
      <c r="C12" s="13" t="inlineStr">
        <is>
          <t>web_quiz</t>
        </is>
      </c>
      <c r="D12" s="13" t="inlineStr">
        <is>
          <t>web</t>
        </is>
      </c>
      <c r="E12" s="13" t="inlineStr">
        <is>
          <t>playnxt-web-pick</t>
        </is>
      </c>
      <c r="F12" s="13" t="inlineStr">
        <is>
          <t>https://apps.apple.com/app/apple-store/id6757089064?pt=128357651&amp;ct=playnxt-web-pick&amp;mt=8</t>
        </is>
      </c>
      <c r="G12" s="13" t="inlineStr">
        <is>
          <t>ready, ships with the card refresh</t>
        </is>
      </c>
      <c r="H12" s="15" t="n"/>
      <c r="I12" s="13" t="inlineStr">
        <is>
          <t>Results in ASC Campaigns.</t>
        </is>
      </c>
    </row>
    <row r="13">
      <c r="A13" s="13" t="inlineStr">
        <is>
          <t>Scenario page, 15 min casual</t>
        </is>
      </c>
      <c r="B13" s="13" t="inlineStr">
        <is>
          <t>Google Play</t>
        </is>
      </c>
      <c r="C13" s="13" t="inlineStr">
        <is>
          <t>scenario-pages</t>
        </is>
      </c>
      <c r="D13" s="13" t="inlineStr">
        <is>
          <t>web</t>
        </is>
      </c>
      <c r="E13" s="13" t="inlineStr">
        <is>
          <t>playnxt-15min-casual</t>
        </is>
      </c>
      <c r="F13" s="13" t="inlineStr">
        <is>
          <t>https://play.google.com/store/apps/details?id=com.playnxt.app&amp;referrer=utm_source%3Dscenario-pages%26utm_medium%3Dweb%26utm_campaign%3Dplaynxt-15min-casual</t>
        </is>
      </c>
      <c r="G13" s="13" t="inlineStr">
        <is>
          <t>LIVE on https://playnxt.io/play/15-minutes-casual</t>
        </is>
      </c>
      <c r="H13" s="15" t="n">
        <v>46296</v>
      </c>
      <c r="I13" s="13" t="inlineStr">
        <is>
          <t>Page builds this link from campaign in playnxt-web/api/_scenarios.js</t>
        </is>
      </c>
    </row>
    <row r="14">
      <c r="A14" s="13" t="inlineStr">
        <is>
          <t>Scenario page, 15 min casual</t>
        </is>
      </c>
      <c r="B14" s="13" t="inlineStr">
        <is>
          <t>App Store</t>
        </is>
      </c>
      <c r="C14" s="13" t="inlineStr">
        <is>
          <t>scenario-pages</t>
        </is>
      </c>
      <c r="D14" s="13" t="inlineStr">
        <is>
          <t>web</t>
        </is>
      </c>
      <c r="E14" s="13" t="inlineStr">
        <is>
          <t>playnxt-15min-casual</t>
        </is>
      </c>
      <c r="F14" s="13" t="inlineStr">
        <is>
          <t>https://apps.apple.com/app/apple-store/id6757089064?pt=128357651&amp;ct=playnxt-15min-casual&amp;mt=8</t>
        </is>
      </c>
      <c r="G14" s="13" t="inlineStr">
        <is>
          <t>LIVE on https://playnxt.io/play/15-minutes-casual</t>
        </is>
      </c>
      <c r="H14" s="15" t="n">
        <v>46296</v>
      </c>
      <c r="I14" s="13" t="inlineStr">
        <is>
          <t>Set as iosCampaignUrl in playnxt-web/api/_scenarios.js. Results in ASC Campaigns.</t>
        </is>
      </c>
    </row>
    <row r="15">
      <c r="A15" s="13" t="inlineStr">
        <is>
          <t>Scenario page, 1 hour focused</t>
        </is>
      </c>
      <c r="B15" s="13" t="inlineStr">
        <is>
          <t>Google Play</t>
        </is>
      </c>
      <c r="C15" s="13" t="inlineStr">
        <is>
          <t>scenario-pages</t>
        </is>
      </c>
      <c r="D15" s="13" t="inlineStr">
        <is>
          <t>web</t>
        </is>
      </c>
      <c r="E15" s="13" t="inlineStr">
        <is>
          <t>playnxt-1hr-focused</t>
        </is>
      </c>
      <c r="F15" s="13" t="inlineStr">
        <is>
          <t>https://play.google.com/store/apps/details?id=com.playnxt.app&amp;referrer=utm_source%3Dscenario-pages%26utm_medium%3Dweb%26utm_campaign%3Dplaynxt-1hr-focused</t>
        </is>
      </c>
      <c r="G15" s="13" t="inlineStr">
        <is>
          <t>LIVE on https://playnxt.io/play/1-hour-focused</t>
        </is>
      </c>
      <c r="H15" s="15" t="n">
        <v>46296</v>
      </c>
      <c r="I15" s="13" t="inlineStr">
        <is>
          <t>Page builds this link from campaign in playnxt-web/api/_scenarios.js</t>
        </is>
      </c>
    </row>
    <row r="16">
      <c r="A16" s="13" t="inlineStr">
        <is>
          <t>Scenario page, 1 hour focused</t>
        </is>
      </c>
      <c r="B16" s="13" t="inlineStr">
        <is>
          <t>App Store</t>
        </is>
      </c>
      <c r="C16" s="13" t="inlineStr">
        <is>
          <t>scenario-pages</t>
        </is>
      </c>
      <c r="D16" s="13" t="inlineStr">
        <is>
          <t>web</t>
        </is>
      </c>
      <c r="E16" s="13" t="inlineStr">
        <is>
          <t>playnxt-1hr-focused</t>
        </is>
      </c>
      <c r="F16" s="13" t="inlineStr">
        <is>
          <t>https://apps.apple.com/app/apple-store/id6757089064?pt=128357651&amp;ct=playnxt-1hr-focused&amp;mt=8</t>
        </is>
      </c>
      <c r="G16" s="13" t="inlineStr">
        <is>
          <t>LIVE on https://playnxt.io/play/1-hour-focused</t>
        </is>
      </c>
      <c r="H16" s="15" t="n">
        <v>46296</v>
      </c>
      <c r="I16" s="13" t="inlineStr">
        <is>
          <t>Set as iosCampaignUrl in playnxt-web/api/_scenarios.js. Results in ASC Campaigns.</t>
        </is>
      </c>
    </row>
    <row r="17">
      <c r="A17" s="13" t="inlineStr">
        <is>
          <t>Scenario page, 2 hours intense</t>
        </is>
      </c>
      <c r="B17" s="13" t="inlineStr">
        <is>
          <t>Google Play</t>
        </is>
      </c>
      <c r="C17" s="13" t="inlineStr">
        <is>
          <t>scenario-pages</t>
        </is>
      </c>
      <c r="D17" s="13" t="inlineStr">
        <is>
          <t>web</t>
        </is>
      </c>
      <c r="E17" s="13" t="inlineStr">
        <is>
          <t>playnxt-2hr-intense</t>
        </is>
      </c>
      <c r="F17" s="13" t="inlineStr">
        <is>
          <t>https://play.google.com/store/apps/details?id=com.playnxt.app&amp;referrer=utm_source%3Dscenario-pages%26utm_medium%3Dweb%26utm_campaign%3Dplaynxt-2hr-intense</t>
        </is>
      </c>
      <c r="G17" s="13" t="inlineStr">
        <is>
          <t>LIVE on https://playnxt.io/play/2-hours-intense</t>
        </is>
      </c>
      <c r="H17" s="15" t="n">
        <v>46296</v>
      </c>
      <c r="I17" s="13" t="inlineStr">
        <is>
          <t>Page builds this link from campaign in playnxt-web/api/_scenarios.js</t>
        </is>
      </c>
    </row>
    <row r="18">
      <c r="A18" s="13" t="inlineStr">
        <is>
          <t>Scenario page, 2 hours intense</t>
        </is>
      </c>
      <c r="B18" s="13" t="inlineStr">
        <is>
          <t>App Store</t>
        </is>
      </c>
      <c r="C18" s="13" t="inlineStr">
        <is>
          <t>scenario-pages</t>
        </is>
      </c>
      <c r="D18" s="13" t="inlineStr">
        <is>
          <t>web</t>
        </is>
      </c>
      <c r="E18" s="13" t="inlineStr">
        <is>
          <t>playnxt-2hr-intense</t>
        </is>
      </c>
      <c r="F18" s="13" t="inlineStr">
        <is>
          <t>https://apps.apple.com/app/apple-store/id6757089064?pt=128357651&amp;ct=playnxt-2hr-intense&amp;mt=8</t>
        </is>
      </c>
      <c r="G18" s="13" t="inlineStr">
        <is>
          <t>LIVE on https://playnxt.io/play/2-hours-intense</t>
        </is>
      </c>
      <c r="H18" s="15" t="n">
        <v>46296</v>
      </c>
      <c r="I18" s="13" t="inlineStr">
        <is>
          <t>Set as iosCampaignUrl in playnxt-web/api/_scenarios.js. Results in ASC Campaigns.</t>
        </is>
      </c>
    </row>
    <row r="19">
      <c r="A19" s="13" t="inlineStr">
        <is>
          <t>Scenario page, cozy October (seasonal)</t>
        </is>
      </c>
      <c r="B19" s="13" t="inlineStr">
        <is>
          <t>Google Play</t>
        </is>
      </c>
      <c r="C19" s="13" t="inlineStr">
        <is>
          <t>scenario-pages</t>
        </is>
      </c>
      <c r="D19" s="13" t="inlineStr">
        <is>
          <t>web</t>
        </is>
      </c>
      <c r="E19" s="13" t="inlineStr">
        <is>
          <t>playnxt-cozy-october</t>
        </is>
      </c>
      <c r="F19" s="13" t="inlineStr">
        <is>
          <t>https://play.google.com/store/apps/details?id=com.playnxt.app&amp;referrer=utm_source%3Dscenario-pages%26utm_medium%3Dweb%26utm_campaign%3Dplaynxt-cozy-october</t>
        </is>
      </c>
      <c r="G19" s="13" t="inlineStr">
        <is>
          <t>LIVE on https://playnxt.io/play/cozy-october-games</t>
        </is>
      </c>
      <c r="H19" s="15" t="n">
        <v>46314</v>
      </c>
      <c r="I19" s="13" t="inlineStr">
        <is>
          <t>Page builds this link from campaign in playnxt-web/api/_scenarios.js</t>
        </is>
      </c>
    </row>
    <row r="20">
      <c r="A20" s="13" t="inlineStr">
        <is>
          <t>Scenario page, cozy October (seasonal)</t>
        </is>
      </c>
      <c r="B20" s="13" t="inlineStr">
        <is>
          <t>App Store</t>
        </is>
      </c>
      <c r="C20" s="13" t="inlineStr">
        <is>
          <t>scenario-pages</t>
        </is>
      </c>
      <c r="D20" s="13" t="inlineStr">
        <is>
          <t>web</t>
        </is>
      </c>
      <c r="E20" s="13" t="inlineStr">
        <is>
          <t>playnxt-cozy-october</t>
        </is>
      </c>
      <c r="F20" s="13" t="inlineStr">
        <is>
          <t>https://apps.apple.com/app/apple-store/id6757089064?pt=128357651&amp;ct=playnxt-cozy-october&amp;mt=8</t>
        </is>
      </c>
      <c r="G20" s="13" t="inlineStr">
        <is>
          <t>LIVE on https://playnxt.io/play/cozy-october-games</t>
        </is>
      </c>
      <c r="H20" s="15" t="n">
        <v>46314</v>
      </c>
      <c r="I20" s="13" t="inlineStr">
        <is>
          <t>Set as iosCampaignUrl in playnxt-web/api/_scenarios.js. Results in ASC Campaigns.</t>
        </is>
      </c>
    </row>
    <row r="21">
      <c r="A21" s="13" t="inlineStr">
        <is>
          <t>Scenario page, post-travel wind-down</t>
        </is>
      </c>
      <c r="B21" s="13" t="inlineStr">
        <is>
          <t>Google Play</t>
        </is>
      </c>
      <c r="C21" s="13" t="inlineStr">
        <is>
          <t>scenario-pages</t>
        </is>
      </c>
      <c r="D21" s="13" t="inlineStr">
        <is>
          <t>web</t>
        </is>
      </c>
      <c r="E21" s="13" t="inlineStr">
        <is>
          <t>playnxt-post-travel-winddown</t>
        </is>
      </c>
      <c r="F21" s="13" t="inlineStr">
        <is>
          <t>https://play.google.com/store/apps/details?id=com.playnxt.app&amp;referrer=utm_source%3Dscenario-pages%26utm_medium%3Dweb%26utm_campaign%3Dplaynxt-post-travel-winddown</t>
        </is>
      </c>
      <c r="G21" s="13" t="inlineStr">
        <is>
          <t>LIVE on https://playnxt.io/play/post-travel-wind-down</t>
        </is>
      </c>
      <c r="H21" s="15" t="n">
        <v>46315</v>
      </c>
      <c r="I21" s="13" t="inlineStr">
        <is>
          <t>Page builds this link from campaign in playnxt-web/api/_scenarios.js</t>
        </is>
      </c>
    </row>
    <row r="22">
      <c r="A22" s="13" t="inlineStr">
        <is>
          <t>Scenario page, post-travel wind-down</t>
        </is>
      </c>
      <c r="B22" s="13" t="inlineStr">
        <is>
          <t>App Store</t>
        </is>
      </c>
      <c r="C22" s="13" t="inlineStr">
        <is>
          <t>scenario-pages</t>
        </is>
      </c>
      <c r="D22" s="13" t="inlineStr">
        <is>
          <t>web</t>
        </is>
      </c>
      <c r="E22" s="13" t="inlineStr">
        <is>
          <t>playnxt-post-travel-winddown</t>
        </is>
      </c>
      <c r="F22" s="13" t="inlineStr">
        <is>
          <t>https://apps.apple.com/app/apple-store/id6757089064?pt=128357651&amp;ct=playnxt-post-travel-winddown&amp;mt=8</t>
        </is>
      </c>
      <c r="G22" s="13" t="inlineStr">
        <is>
          <t>LIVE on https://playnxt.io/play/post-travel-wind-down</t>
        </is>
      </c>
      <c r="H22" s="15" t="n">
        <v>46315</v>
      </c>
      <c r="I22" s="13" t="inlineStr">
        <is>
          <t>Set as iosCampaignUrl in playnxt-web/api/_scenarios.js. Results in ASC Campaigns.</t>
        </is>
      </c>
    </row>
    <row r="23">
      <c r="A23" s="13" t="inlineStr">
        <is>
          <t>Scenario page, long flight</t>
        </is>
      </c>
      <c r="B23" s="13" t="inlineStr">
        <is>
          <t>Google Play</t>
        </is>
      </c>
      <c r="C23" s="13" t="inlineStr">
        <is>
          <t>scenario-pages</t>
        </is>
      </c>
      <c r="D23" s="13" t="inlineStr">
        <is>
          <t>web</t>
        </is>
      </c>
      <c r="E23" s="13" t="inlineStr">
        <is>
          <t>playnxt-long-flight</t>
        </is>
      </c>
      <c r="F23" s="13" t="inlineStr">
        <is>
          <t>https://play.google.com/store/apps/details?id=com.playnxt.app&amp;referrer=utm_source%3Dscenario-pages%26utm_medium%3Dweb%26utm_campaign%3Dplaynxt-long-flight</t>
        </is>
      </c>
      <c r="G23" s="13" t="inlineStr">
        <is>
          <t>LIVE on https://playnxt.io/play/games-for-long-flight</t>
        </is>
      </c>
      <c r="H23" s="15" t="n">
        <v>46315</v>
      </c>
      <c r="I23" s="13" t="inlineStr">
        <is>
          <t>Page builds this link from campaign in playnxt-web/api/_scenarios.js</t>
        </is>
      </c>
    </row>
    <row r="24">
      <c r="A24" s="13" t="inlineStr">
        <is>
          <t>Scenario page, long flight</t>
        </is>
      </c>
      <c r="B24" s="13" t="inlineStr">
        <is>
          <t>App Store</t>
        </is>
      </c>
      <c r="C24" s="13" t="inlineStr">
        <is>
          <t>scenario-pages</t>
        </is>
      </c>
      <c r="D24" s="13" t="inlineStr">
        <is>
          <t>web</t>
        </is>
      </c>
      <c r="E24" s="13" t="inlineStr">
        <is>
          <t>playnxt-long-flight</t>
        </is>
      </c>
      <c r="F24" s="13" t="inlineStr">
        <is>
          <t>https://apps.apple.com/app/apple-store/id6757089064?pt=128357651&amp;ct=playnxt-long-flight&amp;mt=8</t>
        </is>
      </c>
      <c r="G24" s="13" t="inlineStr">
        <is>
          <t>LIVE on https://playnxt.io/play/games-for-long-flight</t>
        </is>
      </c>
      <c r="H24" s="15" t="n">
        <v>46315</v>
      </c>
      <c r="I24" s="13" t="inlineStr">
        <is>
          <t>Set as iosCampaignUrl in playnxt-web/api/_scenarios.js. Results in ASC Campaigns.</t>
        </is>
      </c>
    </row>
    <row r="25">
      <c r="A25" s="13" t="inlineStr">
        <is>
          <t>Scenario page, holiday couch multiplayer (seasonal)</t>
        </is>
      </c>
      <c r="B25" s="13" t="inlineStr">
        <is>
          <t>Google Play</t>
        </is>
      </c>
      <c r="C25" s="13" t="inlineStr">
        <is>
          <t>scenario-pages</t>
        </is>
      </c>
      <c r="D25" s="13" t="inlineStr">
        <is>
          <t>web</t>
        </is>
      </c>
      <c r="E25" s="13" t="inlineStr">
        <is>
          <t>playnxt-holiday-multiplayer</t>
        </is>
      </c>
      <c r="F25" s="13" t="inlineStr">
        <is>
          <t>https://play.google.com/store/apps/details?id=com.playnxt.app&amp;referrer=utm_source%3Dscenario-pages%26utm_medium%3Dweb%26utm_campaign%3Dplaynxt-holiday-multiplayer</t>
        </is>
      </c>
      <c r="G25" s="13" t="inlineStr">
        <is>
          <t>LIVE on https://playnxt.io/play/holiday-couch-multiplayer</t>
        </is>
      </c>
      <c r="H25" s="15" t="n">
        <v>46315</v>
      </c>
      <c r="I25" s="13" t="inlineStr">
        <is>
          <t>Page builds this link from campaign in playnxt-web/api/_scenarios.js</t>
        </is>
      </c>
    </row>
    <row r="26">
      <c r="A26" s="13" t="inlineStr">
        <is>
          <t>Scenario page, holiday couch multiplayer (seasonal)</t>
        </is>
      </c>
      <c r="B26" s="13" t="inlineStr">
        <is>
          <t>App Store</t>
        </is>
      </c>
      <c r="C26" s="13" t="inlineStr">
        <is>
          <t>scenario-pages</t>
        </is>
      </c>
      <c r="D26" s="13" t="inlineStr">
        <is>
          <t>web</t>
        </is>
      </c>
      <c r="E26" s="13" t="inlineStr">
        <is>
          <t>playnxt-holiday-multiplayer</t>
        </is>
      </c>
      <c r="F26" s="13" t="inlineStr">
        <is>
          <t>https://apps.apple.com/app/apple-store/id6757089064?pt=128357651&amp;ct=playnxt-holiday-multiplayer&amp;mt=8</t>
        </is>
      </c>
      <c r="G26" s="13" t="inlineStr">
        <is>
          <t>LIVE on https://playnxt.io/play/holiday-couch-multiplayer</t>
        </is>
      </c>
      <c r="H26" s="15" t="n">
        <v>46315</v>
      </c>
      <c r="I26" s="13" t="inlineStr">
        <is>
          <t>Set as iosCampaignUrl in playnxt-web/api/_scenarios.js. Results in ASC Campaigns.</t>
        </is>
      </c>
    </row>
    <row r="27">
      <c r="A27" s="13" t="inlineStr">
        <is>
          <t>Scenario page, spooky October (seasonal)</t>
        </is>
      </c>
      <c r="B27" s="13" t="inlineStr">
        <is>
          <t>Google Play</t>
        </is>
      </c>
      <c r="C27" s="13" t="inlineStr">
        <is>
          <t>scenario-pages</t>
        </is>
      </c>
      <c r="D27" s="13" t="inlineStr">
        <is>
          <t>web</t>
        </is>
      </c>
      <c r="E27" s="13" t="inlineStr">
        <is>
          <t>playnxt-spooky-october</t>
        </is>
      </c>
      <c r="F27" s="13" t="inlineStr">
        <is>
          <t>https://play.google.com/store/apps/details?id=com.playnxt.app&amp;referrer=utm_source%3Dscenario-pages%26utm_medium%3Dweb%26utm_campaign%3Dplaynxt-spooky-october</t>
        </is>
      </c>
      <c r="G27" s="13" t="inlineStr">
        <is>
          <t>LIVE on https://playnxt.io/play/spooky-october-games</t>
        </is>
      </c>
      <c r="H27" s="15" t="n">
        <v>46315</v>
      </c>
      <c r="I27" s="13" t="inlineStr">
        <is>
          <t>Page builds this link from campaign in playnxt-web/api/_scenarios.js</t>
        </is>
      </c>
    </row>
    <row r="28">
      <c r="A28" s="13" t="inlineStr">
        <is>
          <t>Scenario page, spooky October (seasonal)</t>
        </is>
      </c>
      <c r="B28" s="13" t="inlineStr">
        <is>
          <t>App Store</t>
        </is>
      </c>
      <c r="C28" s="13" t="inlineStr">
        <is>
          <t>scenario-pages</t>
        </is>
      </c>
      <c r="D28" s="13" t="inlineStr">
        <is>
          <t>web</t>
        </is>
      </c>
      <c r="E28" s="13" t="inlineStr">
        <is>
          <t>playnxt-spooky-october</t>
        </is>
      </c>
      <c r="F28" s="13" t="inlineStr">
        <is>
          <t>https://apps.apple.com/app/apple-store/id6757089064?pt=128357651&amp;ct=playnxt-spooky-october&amp;mt=8</t>
        </is>
      </c>
      <c r="G28" s="13" t="inlineStr">
        <is>
          <t>LIVE on https://playnxt.io/play/spooky-october-games</t>
        </is>
      </c>
      <c r="H28" s="15" t="n">
        <v>46315</v>
      </c>
      <c r="I28" s="13" t="inlineStr">
        <is>
          <t>Set as iosCampaignUrl in playnxt-web/api/_scenarios.js. Results in ASC Campaigns.</t>
        </is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5" t="n"/>
      <c r="I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5" t="n"/>
      <c r="I30" s="13" t="n"/>
    </row>
    <row r="32">
      <c r="A32" s="16" t="inlineStr">
        <is>
          <t>Naming rules</t>
        </is>
      </c>
    </row>
    <row r="33">
      <c r="A33" s="17" t="inlineStr">
        <is>
          <t>utm_source: scenario-pages, reddit, creator, newsletter, plus the site sources web_quiz (playnxt.io quiz pages and the result card's get-the-app sheet) and pick_page (playnxt.io/pick share landing pages). utm_medium: web, social, email. utm_campaign: playnxt-&lt;slug&gt;. Google Play links must put the utm string inside the url-encoded referrer param. A new App Store campaign is the same URL with a different 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40" customWidth="1" min="3" max="3"/>
    <col width="55" customWidth="1" min="4" max="4"/>
  </cols>
  <sheetData>
    <row r="1">
      <c r="A1" s="1" t="inlineStr">
        <is>
          <t>Firebase Analytics events</t>
        </is>
      </c>
    </row>
    <row r="2">
      <c r="A2" s="2" t="inlineStr">
        <is>
          <t>Every event also carries an install_source default param. Users carry install_source and install_campaign user properties. These ship in the next app release.</t>
        </is>
      </c>
    </row>
    <row r="4">
      <c r="A4" s="4" t="inlineStr">
        <is>
          <t>Event</t>
        </is>
      </c>
      <c r="B4" s="4" t="inlineStr">
        <is>
          <t>Fires when</t>
        </is>
      </c>
      <c r="C4" s="4" t="inlineStr">
        <is>
          <t>Params</t>
        </is>
      </c>
      <c r="D4" s="4" t="inlineStr">
        <is>
          <t>Feeds scorecard column</t>
        </is>
      </c>
    </row>
    <row r="5">
      <c r="A5" s="18" t="inlineStr">
        <is>
          <t>app_first_open</t>
        </is>
      </c>
      <c r="B5" s="19" t="inlineStr">
        <is>
          <t>First launch of a fresh install. Upgrades from older builds do not fire it.</t>
        </is>
      </c>
      <c r="C5" s="19" t="inlineStr">
        <is>
          <t>platform (ios/android), app_version, install_source</t>
        </is>
      </c>
      <c r="D5" s="19" t="inlineStr">
        <is>
          <t>Scoreboard: First opens per source (denominator of activation rate).</t>
        </is>
      </c>
    </row>
    <row r="6">
      <c r="A6" s="18" t="inlineStr">
        <is>
          <t>recommendation_started</t>
        </is>
      </c>
      <c r="B6" s="19" t="inlineStr">
        <is>
          <t>User submits time and mood (not on reroll).</t>
        </is>
      </c>
      <c r="C6" s="19" t="inlineStr">
        <is>
          <t>minutes, mood, platform_filter, library_mode</t>
        </is>
      </c>
      <c r="D6" s="19" t="inlineStr">
        <is>
          <t>Not on the scoreboard. Use for drop-off between start and pick.</t>
        </is>
      </c>
    </row>
    <row r="7">
      <c r="A7" s="18" t="inlineStr">
        <is>
          <t>recommendation_viewed</t>
        </is>
      </c>
      <c r="B7" s="19" t="inlineStr">
        <is>
          <t>A non-empty set of picks comes back (initial and reroll).</t>
        </is>
      </c>
      <c r="C7" s="19" t="inlineStr">
        <is>
          <t>result_count, latency_ms, install_source</t>
        </is>
      </c>
      <c r="D7" s="19" t="inlineStr">
        <is>
          <t>Scoreboard: D7 returned users (return criterion in the cohort report).</t>
        </is>
      </c>
    </row>
    <row r="8">
      <c r="A8" s="18" t="inlineStr">
        <is>
          <t>game_selected</t>
        </is>
      </c>
      <c r="B8" s="19" t="inlineStr">
        <is>
          <t>User taps "I'll play this!" on a pick. This is THE activation event.</t>
        </is>
      </c>
      <c r="C8" s="19" t="inlineStr">
        <is>
          <t>game_id, rank (1-3), minutes, mood</t>
        </is>
      </c>
      <c r="D8" s="19" t="inlineStr">
        <is>
          <t>Scoreboard: Activated users per source, Total (north star), D7 cohort inclusion.</t>
        </is>
      </c>
    </row>
    <row r="9">
      <c r="A9" s="18" t="inlineStr">
        <is>
          <t>result_shared</t>
        </is>
      </c>
      <c r="B9" s="19" t="inlineStr">
        <is>
          <t>Share sheet completes. On Android it fires when the sheet closes, so it overcounts a little.</t>
        </is>
      </c>
      <c r="C9" s="19" t="inlineStr">
        <is>
          <t>surface (card/link), scenario, game_count</t>
        </is>
      </c>
      <c r="D9" s="19" t="inlineStr">
        <is>
          <t>Not on the scoreboard.</t>
        </is>
      </c>
    </row>
    <row r="10">
      <c r="A10" s="18" t="inlineStr">
        <is>
          <t>premium_purchase</t>
        </is>
      </c>
      <c r="B10" s="19" t="inlineStr">
        <is>
          <t>Premium unlock succeeds.</t>
        </is>
      </c>
      <c r="C10" s="19" t="inlineStr">
        <is>
          <t>platform, entry_screen</t>
        </is>
      </c>
      <c r="D10" s="19" t="inlineStr">
        <is>
          <t>Not on the scoreboard.</t>
        </is>
      </c>
    </row>
    <row r="12">
      <c r="A12" s="16" t="inlineStr">
        <is>
          <t>Definitions</t>
        </is>
      </c>
    </row>
    <row r="13">
      <c r="A13" s="17" t="inlineStr">
        <is>
          <t>Activated user: unique user who fires game_selected.</t>
        </is>
      </c>
    </row>
    <row r="14">
      <c r="A14" s="17" t="inlineStr">
        <is>
          <t>Activation rate: activated users / app_first_open users, per source.</t>
        </is>
      </c>
    </row>
    <row r="15">
      <c r="A15" s="17" t="inlineStr">
        <is>
          <t>D7 return: an activated user fires recommendation_viewed again within 7 days of first activation.</t>
        </is>
      </c>
    </row>
    <row r="16">
      <c r="A16" s="17" t="inlineStr">
        <is>
          <t>North star: activated users per week, split by source.</t>
        </is>
      </c>
    </row>
    <row r="17">
      <c r="A17" s="17" t="inlineStr">
        <is>
          <t>Firebase's built-in first_open still exists for raw install counts. app_first_open is the per-source 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How to fill the scorecard</t>
        </is>
      </c>
    </row>
    <row r="3">
      <c r="A3" s="20" t="inlineStr">
        <is>
          <t>One-time setup (do this before the release ships)</t>
        </is>
      </c>
    </row>
    <row r="4">
      <c r="A4" s="21" t="inlineStr">
        <is>
          <t>1</t>
        </is>
      </c>
      <c r="B4" s="22" t="inlineStr">
        <is>
          <t>Firebase console &gt; Analytics &gt; Custom definitions. Create event-scoped custom dimensions for install_source (display name like "Install source"), rank, mood, minutes, entry_screen, surface and scenario.</t>
        </is>
      </c>
    </row>
    <row r="5">
      <c r="A5" s="21" t="inlineStr">
        <is>
          <t>2</t>
        </is>
      </c>
      <c r="B5" s="22" t="inlineStr">
        <is>
          <t>Same screen, create user-scoped custom dimensions for the install_source and install_campaign user properties. Give the user-scoped install_source its own display name, like "Install source (user)".</t>
        </is>
      </c>
    </row>
    <row r="6">
      <c r="A6" s="21" t="inlineStr">
        <is>
          <t>3</t>
        </is>
      </c>
      <c r="B6" s="22" t="inlineStr">
        <is>
          <t>Without these, the params never show in reports. Registration is not retroactive: events logged before you register them stay unreadable.</t>
        </is>
      </c>
    </row>
    <row r="7">
      <c r="A7" s="20" t="inlineStr">
        <is>
          <t>Every Monday, for the week that just ended</t>
        </is>
      </c>
    </row>
    <row r="8">
      <c r="A8" s="21" t="inlineStr">
        <is>
          <t>4</t>
        </is>
      </c>
      <c r="B8" s="22" t="inlineStr">
        <is>
          <t>Firebase / GA4 &gt; Explore &gt; Free form. Date range = Monday to Sunday of that week. Rows: dimension Install source (the event-scoped install_source). Values: Total users. Filter Event name = app_first_open. Copy each source into First opens.</t>
        </is>
      </c>
    </row>
    <row r="9">
      <c r="A9" s="21" t="inlineStr">
        <is>
          <t>5</t>
        </is>
      </c>
      <c r="B9" s="22" t="inlineStr">
        <is>
          <t>Same report, change the filter to Event name = game_selected. Copy each source into Activated users.</t>
        </is>
      </c>
    </row>
    <row r="10">
      <c r="A10" s="21" t="inlineStr">
        <is>
          <t>6</t>
        </is>
      </c>
      <c r="B10" s="22" t="inlineStr">
        <is>
          <t>D7, for the week before last (it needs 7 days to mature): Explore &gt; Cohort exploration. Cohort inclusion = game_selected. Return criteria = recommendation_viewed. Granularity = Daily. Read Day 1 to Day 7 and enter the returned users in D7 returned users. GA4 counts each day separately, so a user who came back on two days shows up twice if you add the days.</t>
        </is>
      </c>
    </row>
    <row r="11">
      <c r="A11" s="21" t="inlineStr">
        <is>
          <t>7</t>
        </is>
      </c>
      <c r="B11" s="22" t="inlineStr">
        <is>
          <t>iOS: App Store Connect &gt; Analytics &gt; Acquisition &gt; Campaigns. Set the week's dates. For each campaign (the nine scenario pages playnxt-30min-lowenergy, playnxt-15min-casual, playnxt-1hr-focused, playnxt-2hr-intense, playnxt-cozy-october, playnxt-spooky-october, playnxt-post-travel-winddown, playnxt-long-flight and playnxt-holiday-multiplayer, plus playnxt-community, playnxt-challenge and playnxt-web-pick) copy Impressions, Product page views and Downloads (App Units) into the App Store Connect columns.</t>
        </is>
      </c>
    </row>
    <row r="12">
      <c r="A12" s="21" t="inlineStr">
        <is>
          <t>8</t>
        </is>
      </c>
      <c r="B12" s="22" t="inlineStr">
        <is>
          <t>Scenario page views: Vercel dashboard &gt; playnxt-web project &gt; Analytics. Set the week's dates, open Pages, and copy the visitors or page views for each of the nine scenario pages: /play/30-minutes-low-energy, /play/15-minutes-casual, /play/1-hour-focused, /play/2-hours-intense, /play/cozy-october-games, /play/spooky-october-games, /play/post-travel-wind-down, /play/games-for-long-flight and /play/holiday-couch-multiplayer. Use the same metric every week.</t>
        </is>
      </c>
    </row>
    <row r="13">
      <c r="A13" s="21" t="inlineStr">
        <is>
          <t>9</t>
        </is>
      </c>
      <c r="B13" s="22" t="inlineStr">
        <is>
          <t>Leave a cell empty if there is no data. Enter 0 only when the report shows 0. Rates stay blank until the inputs they need are filled.</t>
        </is>
      </c>
    </row>
    <row r="14">
      <c r="A14" s="20" t="inlineStr">
        <is>
          <t>Reading it</t>
        </is>
      </c>
    </row>
    <row r="15">
      <c r="A15" s="21" t="inlineStr">
        <is>
          <t>10</t>
        </is>
      </c>
      <c r="B15" s="22" t="inlineStr">
        <is>
          <t>iOS installs always report install_source = organic, so per-source activation rates are Android only. Compare iOS campaigns with the App Store Connect downloads instead.</t>
        </is>
      </c>
    </row>
    <row r="16">
      <c r="A16" s="21" t="inlineStr">
        <is>
          <t>11</t>
        </is>
      </c>
      <c r="B16" s="22" t="inlineStr">
        <is>
          <t>Add new tagged links to the Link inventory tab and mark the date you placed them.</t>
        </is>
      </c>
    </row>
  </sheetData>
  <mergeCells count="3">
    <mergeCell ref="A14:B14"/>
    <mergeCell ref="A3:B3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2026-10-01T15:30:14Z</dcterms:created>
  <dcterms:modified xmlns:dcterms="http://purl.org/dc/terms/" xmlns:xsi="http://www.w3.org/2001/XMLSchema-instance" xsi:type="dcterms:W3CDTF">2026-10-21T14:19:04Z</dcterms:modified>
</cp:coreProperties>
</file>